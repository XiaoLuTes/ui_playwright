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1\Downloads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<sst xmlns="http://schemas.openxmlformats.org/spreadsheetml/2006/main" count="217" uniqueCount="196">
  <si>
    <t>Employee Information</t>
  </si>
  <si>
    <t>Basic Income</t>
  </si>
  <si>
    <t>Current Period Income</t>
  </si>
  <si>
    <t>Current Period Deduction</t>
  </si>
  <si>
    <t>Employee Gross Pay</t>
  </si>
  <si>
    <t>Employee Compensation Withholding And Deduction Items</t>
  </si>
  <si>
    <t>Total Employee Contribution</t>
  </si>
  <si>
    <t>Employee Net Pay</t>
  </si>
  <si>
    <t>Employer Contribution</t>
  </si>
  <si>
    <t>Total Employer Contribution</t>
  </si>
  <si>
    <t>Total Employer Cost</t>
  </si>
  <si>
    <t>Remark for Employer Cost</t>
  </si>
  <si>
    <t>Remark for Supply Charges</t>
  </si>
  <si>
    <t>Currency and Exchange</t>
  </si>
  <si>
    <t>Total Employer Cost
(SC)</t>
  </si>
  <si>
    <t>GSR Service Charge
(in Client Settlement Currency)</t>
  </si>
  <si>
    <t>Total GSR Service Fee
(SC)</t>
  </si>
  <si>
    <t>VAT Cost in Service Country
(SC)</t>
  </si>
  <si>
    <t>Total Employer Cost
(IC)</t>
  </si>
  <si>
    <t>Total GSR Service Fee
(IC)</t>
  </si>
  <si>
    <t>VAT Cost in Service Country
(IC)</t>
  </si>
  <si>
    <t>Total Payable
(IC)</t>
  </si>
  <si>
    <t>VAT in China
(IC)</t>
  </si>
  <si>
    <t>Total Invoicing
(IC)</t>
  </si>
  <si>
    <t>Remark</t>
  </si>
  <si>
    <t>Malaysia</t>
  </si>
  <si>
    <t>Employee Payslip ID</t>
  </si>
  <si>
    <t>Payroll Cycle
YM</t>
  </si>
  <si>
    <t>Country Name</t>
  </si>
  <si>
    <t>Employee Name</t>
  </si>
  <si>
    <t>Employee ID</t>
  </si>
  <si>
    <t>Employee Nature</t>
  </si>
  <si>
    <t>Client Name</t>
  </si>
  <si>
    <t>Supplier Name</t>
  </si>
  <si>
    <t>Start Date</t>
  </si>
  <si>
    <t>Payroll Currency</t>
  </si>
  <si>
    <t>Basic Salary</t>
  </si>
  <si>
    <t>Meal Allowance</t>
  </si>
  <si>
    <t xml:space="preserve">Phone Allowance </t>
  </si>
  <si>
    <t xml:space="preserve">Transport Allowance </t>
  </si>
  <si>
    <t>other allowance</t>
  </si>
  <si>
    <t>Reimbursement</t>
  </si>
  <si>
    <t>Overtime</t>
  </si>
  <si>
    <t>Bonus</t>
  </si>
  <si>
    <t>Absent</t>
  </si>
  <si>
    <t>Personal Leave</t>
  </si>
  <si>
    <t>Other Leave</t>
  </si>
  <si>
    <t>Unpaid Leave</t>
  </si>
  <si>
    <t>Income Tax</t>
  </si>
  <si>
    <t>EPF</t>
  </si>
  <si>
    <t>SOCSO</t>
  </si>
  <si>
    <t>SIP</t>
  </si>
  <si>
    <t>HRDF</t>
  </si>
  <si>
    <t>Settlement Currency</t>
  </si>
  <si>
    <t>Invoicing Currecny</t>
  </si>
  <si>
    <t>Exchange: Settlement Currency/Payroll Currency</t>
  </si>
  <si>
    <t>Exchange: Invoicing Currency/Settlement Currency</t>
  </si>
  <si>
    <t>GSR's Service Fee</t>
  </si>
  <si>
    <t>GSR's Setting Up Fee</t>
  </si>
  <si>
    <t>GSR's Other Service Fee</t>
  </si>
  <si>
    <t>GSR's Charge Adjustment from Past Months</t>
  </si>
  <si>
    <t>指标中文说明</t>
  </si>
  <si>
    <r>
      <rPr>
        <sz val="10"/>
        <rFont val="Microsoft YaHei"/>
        <charset val="134"/>
      </rPr>
      <t>结算单</t>
    </r>
    <r>
      <rPr>
        <sz val="10"/>
        <rFont val="Arial"/>
        <charset val="134"/>
      </rPr>
      <t>ID</t>
    </r>
  </si>
  <si>
    <r>
      <rPr>
        <sz val="10"/>
        <rFont val="微软雅黑 Light"/>
        <charset val="134"/>
      </rPr>
      <t>薪酬月份</t>
    </r>
  </si>
  <si>
    <r>
      <rPr>
        <sz val="10"/>
        <color rgb="FF000000"/>
        <rFont val="宋体"/>
        <charset val="134"/>
      </rPr>
      <t>国家</t>
    </r>
  </si>
  <si>
    <r>
      <rPr>
        <sz val="10"/>
        <color theme="1"/>
        <rFont val="宋体"/>
        <charset val="134"/>
      </rPr>
      <t>员工名称</t>
    </r>
  </si>
  <si>
    <r>
      <rPr>
        <sz val="10"/>
        <color rgb="FF000000"/>
        <rFont val="宋体"/>
        <charset val="134"/>
      </rPr>
      <t>员工</t>
    </r>
    <r>
      <rPr>
        <sz val="10"/>
        <color rgb="FF000000"/>
        <rFont val="Arial"/>
        <charset val="134"/>
      </rPr>
      <t>ID</t>
    </r>
  </si>
  <si>
    <t>员工性质</t>
  </si>
  <si>
    <r>
      <rPr>
        <sz val="10"/>
        <color theme="1"/>
        <rFont val="宋体"/>
        <charset val="134"/>
      </rPr>
      <t>客户</t>
    </r>
  </si>
  <si>
    <r>
      <rPr>
        <sz val="10"/>
        <color theme="1"/>
        <rFont val="宋体"/>
        <charset val="134"/>
      </rPr>
      <t>供应商</t>
    </r>
  </si>
  <si>
    <r>
      <rPr>
        <sz val="10"/>
        <color rgb="FF000000"/>
        <rFont val="宋体"/>
        <charset val="134"/>
      </rPr>
      <t>入职时间</t>
    </r>
  </si>
  <si>
    <r>
      <rPr>
        <sz val="10"/>
        <color rgb="FF000000"/>
        <rFont val="宋体"/>
        <charset val="134"/>
      </rPr>
      <t>发薪币种</t>
    </r>
  </si>
  <si>
    <r>
      <rPr>
        <sz val="10"/>
        <rFont val="微软雅黑 Light"/>
        <charset val="134"/>
      </rPr>
      <t>标准薪资</t>
    </r>
  </si>
  <si>
    <r>
      <rPr>
        <sz val="10"/>
        <rFont val="宋体"/>
        <charset val="134"/>
      </rPr>
      <t>餐补</t>
    </r>
  </si>
  <si>
    <r>
      <rPr>
        <sz val="10"/>
        <rFont val="宋体"/>
        <charset val="134"/>
      </rPr>
      <t>通讯补助</t>
    </r>
  </si>
  <si>
    <r>
      <rPr>
        <sz val="10"/>
        <rFont val="宋体"/>
        <charset val="134"/>
      </rPr>
      <t>交通补助</t>
    </r>
  </si>
  <si>
    <t>其他补贴</t>
  </si>
  <si>
    <t>随薪资发放的报销</t>
  </si>
  <si>
    <r>
      <rPr>
        <sz val="10"/>
        <rFont val="微软雅黑 Light"/>
        <charset val="134"/>
      </rPr>
      <t>加班费</t>
    </r>
  </si>
  <si>
    <r>
      <rPr>
        <sz val="10"/>
        <rFont val="宋体"/>
        <charset val="134"/>
      </rPr>
      <t>奖金</t>
    </r>
  </si>
  <si>
    <r>
      <rPr>
        <sz val="10"/>
        <rFont val="微软雅黑 Light"/>
        <charset val="134"/>
      </rPr>
      <t>当期扣项</t>
    </r>
  </si>
  <si>
    <t>税前总薪酬</t>
  </si>
  <si>
    <t>个人所得税</t>
  </si>
  <si>
    <t>雇员公积金</t>
  </si>
  <si>
    <t>社会保险机构</t>
  </si>
  <si>
    <t>就业保险系统</t>
  </si>
  <si>
    <r>
      <rPr>
        <sz val="10"/>
        <rFont val="微软雅黑 Light"/>
        <charset val="134"/>
      </rPr>
      <t>雇员薪酬扣除项合计</t>
    </r>
  </si>
  <si>
    <r>
      <rPr>
        <sz val="10"/>
        <rFont val="微软雅黑 Light"/>
        <charset val="134"/>
      </rPr>
      <t>雇员净薪酬</t>
    </r>
  </si>
  <si>
    <t>人力资源发展基金</t>
  </si>
  <si>
    <r>
      <rPr>
        <sz val="10"/>
        <rFont val="微软雅黑 Light"/>
        <charset val="134"/>
      </rPr>
      <t>雇主支付福利项合计</t>
    </r>
  </si>
  <si>
    <r>
      <rPr>
        <sz val="10"/>
        <rFont val="Microsoft YaHei"/>
        <charset val="134"/>
      </rPr>
      <t>雇主总成本</t>
    </r>
    <r>
      <rPr>
        <sz val="10"/>
        <rFont val="Arial"/>
        <charset val="134"/>
      </rPr>
      <t xml:space="preserve">
</t>
    </r>
    <r>
      <rPr>
        <sz val="10"/>
        <rFont val="Microsoft YaHei"/>
        <charset val="134"/>
      </rPr>
      <t>（基于发薪币）</t>
    </r>
  </si>
  <si>
    <r>
      <rPr>
        <sz val="10"/>
        <color theme="1"/>
        <rFont val="微软雅黑 Light"/>
        <charset val="134"/>
      </rPr>
      <t>对雇主成本的备注</t>
    </r>
  </si>
  <si>
    <t>结算币种</t>
  </si>
  <si>
    <t>开票币种</t>
  </si>
  <si>
    <t>结算币÷发薪币</t>
  </si>
  <si>
    <t>开票币÷结算币</t>
  </si>
  <si>
    <t>雇主总成本
（基于结算币）</t>
  </si>
  <si>
    <t>月度服务费</t>
  </si>
  <si>
    <t>注册费</t>
  </si>
  <si>
    <t>其他服务收费</t>
  </si>
  <si>
    <t>往月服务费调整
（如有）</t>
  </si>
  <si>
    <t>GSR服务费合计
（基于结算币）</t>
  </si>
  <si>
    <t>当地国的VAT成本
（基于结算币）</t>
  </si>
  <si>
    <t>雇主总成本
（基于发票币）</t>
  </si>
  <si>
    <t>GSR服务费合计
（基于发票币）</t>
  </si>
  <si>
    <t>当地国的VAT成本
（基于发票币）</t>
  </si>
  <si>
    <t>客户当期应付
（基于发票币）</t>
  </si>
  <si>
    <t>中国VAT
(中国税票场景)</t>
  </si>
  <si>
    <t>开票金额
（基于发票币）</t>
  </si>
  <si>
    <t>备注</t>
  </si>
  <si>
    <r>
      <rPr>
        <sz val="10"/>
        <rFont val="微软雅黑 Light"/>
        <charset val="134"/>
      </rPr>
      <t>指标备注的内部说明，客户对账单不显示</t>
    </r>
  </si>
  <si>
    <r>
      <rPr>
        <sz val="10"/>
        <rFont val="宋体"/>
        <charset val="134"/>
      </rPr>
      <t>员工在</t>
    </r>
    <r>
      <rPr>
        <sz val="10"/>
        <rFont val="Arial"/>
        <charset val="134"/>
      </rPr>
      <t>GSR</t>
    </r>
    <r>
      <rPr>
        <sz val="10"/>
        <rFont val="宋体"/>
        <charset val="134"/>
      </rPr>
      <t>系统中的编号</t>
    </r>
  </si>
  <si>
    <t>顾问or本地雇员or非本地雇员</t>
  </si>
  <si>
    <t>区域交付对供应商雇主成本的备注，传递给客户交付用于结算参考（对账单不显示）</t>
  </si>
  <si>
    <t>区域交付对供应商收费的备注，传递客户交付用于面向客户结算参考
（对账单不展示）</t>
  </si>
  <si>
    <t>我司和客户结算费用的币种</t>
  </si>
  <si>
    <t>我司给客户发票币种</t>
  </si>
  <si>
    <t>1单位报价结算币=多少发薪币，需取微盘财务公布服务期当月购汇发薪实际汇率（预估开票时取上个服务期月实际）</t>
  </si>
  <si>
    <t>1单位发票币=多少结算币，需取微盘财务公布服务期当月购汇发薪实际汇率（预估开票时取上个服务期月实际）</t>
  </si>
  <si>
    <t>以往月份服务费差异调整</t>
  </si>
  <si>
    <t>一般是:
P=(G2+O)*VAT% 或
P=O*VAT%</t>
  </si>
  <si>
    <t>请核对合同录入的税率是6%还是6.72%</t>
  </si>
  <si>
    <t>客户交付展示给客户看的备注，不想展示给客户的不在此列示</t>
  </si>
  <si>
    <r>
      <rPr>
        <sz val="10"/>
        <rFont val="微软雅黑 Light"/>
        <charset val="134"/>
      </rPr>
      <t xml:space="preserve">指标编号
</t>
    </r>
    <r>
      <rPr>
        <sz val="10"/>
        <rFont val="Arial"/>
        <charset val="134"/>
      </rPr>
      <t>Index Field ID</t>
    </r>
  </si>
  <si>
    <t>XX0</t>
  </si>
  <si>
    <t>XX1</t>
  </si>
  <si>
    <t>XX2</t>
  </si>
  <si>
    <t>XX3</t>
  </si>
  <si>
    <t>XX4</t>
  </si>
  <si>
    <t>XX17</t>
  </si>
  <si>
    <t>XX5</t>
  </si>
  <si>
    <t>XX6</t>
  </si>
  <si>
    <t>XX7</t>
  </si>
  <si>
    <t>XX8</t>
  </si>
  <si>
    <t>R1</t>
  </si>
  <si>
    <t>A</t>
  </si>
  <si>
    <t>C</t>
  </si>
  <si>
    <t>D</t>
  </si>
  <si>
    <t>E</t>
  </si>
  <si>
    <t>F</t>
  </si>
  <si>
    <t>XX9</t>
  </si>
  <si>
    <t>XX13</t>
  </si>
  <si>
    <t>XX14</t>
  </si>
  <si>
    <t>XX15</t>
  </si>
  <si>
    <t>CE1</t>
  </si>
  <si>
    <t>CE2</t>
  </si>
  <si>
    <t>G2</t>
  </si>
  <si>
    <t>O</t>
  </si>
  <si>
    <t>P</t>
  </si>
  <si>
    <t>Q</t>
  </si>
  <si>
    <t>R</t>
  </si>
  <si>
    <t>S</t>
  </si>
  <si>
    <t>T</t>
  </si>
  <si>
    <t>U</t>
  </si>
  <si>
    <t>V</t>
  </si>
  <si>
    <t>XX16</t>
  </si>
  <si>
    <r>
      <rPr>
        <sz val="10"/>
        <rFont val="微软雅黑 Light"/>
        <charset val="134"/>
      </rPr>
      <t xml:space="preserve">规则说明
</t>
    </r>
    <r>
      <rPr>
        <sz val="10"/>
        <rFont val="Arial"/>
        <charset val="134"/>
      </rPr>
      <t>Remark:Calculation formula or rules</t>
    </r>
  </si>
  <si>
    <t>A=1+2+3+4+11+R1+5+6-7-8-9-10</t>
  </si>
  <si>
    <t>缴纳基数为：编号1-4 Basic income
缴纳比例为：11%</t>
  </si>
  <si>
    <t>缴纳基数为：编号1-4 Basic income
缴纳比例为：对照政府社保规则表格，收取固定值
缴纳上限为：每位员工收取上限为：29.75RM</t>
  </si>
  <si>
    <t>缴纳基数为：编号1-4 Basic incomey
缴纳比例为：对照政府社保规则表格，收取固定值
缴纳上限为：每位员工收取上限为：11.9RM</t>
  </si>
  <si>
    <t>C=21+22+23+24</t>
  </si>
  <si>
    <t>D=A-C</t>
  </si>
  <si>
    <t>缴纳基数为：编号1-4 Basic income
缴纳比例为：若员工薪资在 5000RM及以下，则13%；若员工薪资超过5000RM，则12%</t>
  </si>
  <si>
    <t>缴纳基数为：编号1-4 Basic income
缴纳比例为：对照政府社保规则表格，收取固定值
缴纳上限为：每位员工收取上限为：104.15RM</t>
  </si>
  <si>
    <t>缴纳基数为：编号1-4 Basic income
缴纳比例为：对照政府社保规则表格，收取固定值
缴纳上限为：每位员工收取上限为：11.9RM</t>
  </si>
  <si>
    <r>
      <rPr>
        <sz val="10"/>
        <rFont val="Microsoft YaHei"/>
        <charset val="134"/>
      </rPr>
      <t>缴纳基数为：编号</t>
    </r>
    <r>
      <rPr>
        <sz val="10"/>
        <rFont val="Arial"/>
        <charset val="134"/>
      </rPr>
      <t xml:space="preserve">1 Basic income
</t>
    </r>
    <r>
      <rPr>
        <sz val="10"/>
        <rFont val="Microsoft YaHei"/>
        <charset val="134"/>
      </rPr>
      <t>缴纳比例为：</t>
    </r>
    <r>
      <rPr>
        <sz val="10"/>
        <rFont val="Arial"/>
        <charset val="134"/>
      </rPr>
      <t>1%</t>
    </r>
  </si>
  <si>
    <t>E=41+42+43+44</t>
  </si>
  <si>
    <t xml:space="preserve"> F=A+E</t>
  </si>
  <si>
    <t>/</t>
  </si>
  <si>
    <t>G2=(F-R1)/CE1</t>
  </si>
  <si>
    <t>O=81+82+83+84</t>
  </si>
  <si>
    <t>因服务发生地国家税法合规要求，部分国家需缴纳当地国的VAT，是否涉及基于合同</t>
  </si>
  <si>
    <t>Q=G2/CE2</t>
  </si>
  <si>
    <t>R=O/CE2</t>
  </si>
  <si>
    <t>S=P/CE2</t>
  </si>
  <si>
    <t>T=Q+R+S</t>
  </si>
  <si>
    <t>U=T*0</t>
  </si>
  <si>
    <t>V=T+U</t>
  </si>
  <si>
    <r>
      <rPr>
        <sz val="10"/>
        <rFont val="微软雅黑 Light"/>
        <charset val="134"/>
      </rPr>
      <t>币种</t>
    </r>
    <r>
      <rPr>
        <sz val="10"/>
        <rFont val="Arial"/>
        <charset val="134"/>
      </rPr>
      <t>/Currency</t>
    </r>
  </si>
  <si>
    <t>AUD</t>
  </si>
  <si>
    <t>EGP</t>
  </si>
  <si>
    <t>本月预收汇总</t>
  </si>
  <si>
    <t/>
  </si>
  <si>
    <t>CEP20260911000091</t>
  </si>
  <si>
    <t>2026-08</t>
  </si>
  <si>
    <t>France</t>
  </si>
  <si>
    <t>a-louienewbee测试</t>
  </si>
  <si>
    <t>CE3TWVHC</t>
  </si>
  <si>
    <t>顾问</t>
  </si>
  <si>
    <t>louie测试1号客户-预收形票</t>
  </si>
  <si>
    <t>Lucas专用供应商</t>
  </si>
  <si>
    <t>2025-03-01</t>
  </si>
  <si>
    <t>CEP20260911000090</t>
  </si>
  <si>
    <t>louie垃圾测试</t>
  </si>
  <si>
    <t>CE31PGIN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</si>
</sst>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);[Red]\(0.000000\)"/>
  </numFmts>
  <fonts count="40">
    <font>
      <sz val="12"/>
      <color theme="1"/>
      <name val="Microsoft YaHei Light"/>
      <charset val="134"/>
    </font>
    <font>
      <b/>
      <sz val="12"/>
      <color theme="1"/>
      <name val="Arial"/>
      <charset val="134"/>
    </font>
    <font>
      <b/>
      <sz val="10"/>
      <color indexed="8"/>
      <name val="Arial"/>
      <charset val="134"/>
    </font>
    <font>
      <b/>
      <sz val="10"/>
      <name val="Arial"/>
      <charset val="134"/>
    </font>
    <font>
      <b/>
      <sz val="10"/>
      <color rgb="FFC00000"/>
      <name val="Arial"/>
      <charset val="134"/>
    </font>
    <font>
      <b/>
      <sz val="10"/>
      <color theme="1"/>
      <name val="Arial"/>
      <charset val="134"/>
    </font>
    <font>
      <sz val="16"/>
      <name val="Microsoft YaHei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name val="Microsoft YaHei"/>
      <charset val="134"/>
    </font>
    <font>
      <sz val="10"/>
      <color indexed="8"/>
      <name val="Arial"/>
      <charset val="134"/>
    </font>
    <font>
      <sz val="10"/>
      <name val="宋体"/>
      <charset val="134"/>
    </font>
    <font>
      <sz val="10"/>
      <name val="微软雅黑 Light"/>
      <charset val="134"/>
    </font>
    <font>
      <sz val="10"/>
      <name val="Arial Italic"/>
      <charset val="134"/>
    </font>
    <font>
      <b/>
      <sz val="10"/>
      <color rgb="FF000000"/>
      <name val="Arial"/>
      <charset val="134"/>
    </font>
    <font>
      <sz val="10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theme="1"/>
      <name val="微软雅黑 Light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156082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7" borderId="12" applyNumberFormat="0" applyAlignment="0" applyProtection="0">
      <alignment vertical="center"/>
    </xf>
    <xf numFmtId="0" fontId="28" fillId="7" borderId="11" applyNumberFormat="0" applyAlignment="0" applyProtection="0">
      <alignment vertical="center"/>
    </xf>
    <xf numFmtId="0" fontId="29" fillId="8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 applyProtection="1">
      <protection locked="0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2" fontId="15" fillId="4" borderId="7" xfId="0" applyNumberFormat="1" applyFont="1" applyFill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2" fontId="16" fillId="0" borderId="7" xfId="0" applyNumberFormat="1" applyFont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1562573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62100" cy="58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"/>
  <sheetViews>
    <sheetView tabSelected="1" zoomScale="52" zoomScaleNormal="52" topLeftCell="AD1" workbookViewId="0">
      <selection activeCell="AQ9" sqref="AQ9"/>
    </sheetView>
  </sheetViews>
  <sheetFormatPr defaultColWidth="11" defaultRowHeight="16.85"/>
  <cols>
    <col min="1" max="2" width="20.1333333333333" style="1" customWidth="1"/>
    <col min="3" max="3" width="8" style="1"/>
    <col min="4" max="4" width="13.1333333333333" style="1" customWidth="1"/>
    <col min="5" max="5" width="8" style="1"/>
    <col min="6" max="6" width="12.8592592592593" style="1" customWidth="1"/>
    <col min="7" max="7" width="15.5703703703704" style="1" customWidth="1"/>
    <col min="8" max="9" width="18" style="1" customWidth="1"/>
    <col min="10" max="33" width="8" style="1"/>
    <col min="34" max="34" width="13.1333333333333" style="1" customWidth="1"/>
    <col min="35" max="36" width="13.4222222222222" style="1" customWidth="1"/>
    <col min="37" max="37" width="15.1333333333333" style="1" customWidth="1"/>
    <col min="38" max="40" width="13.8518518518519" style="1" customWidth="1"/>
    <col min="41" max="42" width="23.7037037037037" style="1" customWidth="1"/>
    <col min="43" max="43" width="16.2814814814815" style="1" customWidth="1"/>
    <col min="44" max="46" width="10.7037037037037" style="1" customWidth="1"/>
    <col min="47" max="47" width="12.8518518518519" style="1" customWidth="1"/>
    <col min="48" max="48" width="12.4222222222222" style="1" customWidth="1"/>
    <col min="49" max="49" width="15.7037037037037" style="1" customWidth="1"/>
    <col min="50" max="50" width="16" style="1" customWidth="1"/>
    <col min="51" max="51" width="12.2814814814815" style="1" customWidth="1"/>
    <col min="52" max="52" width="12.7037037037037" style="1" customWidth="1"/>
    <col min="53" max="55" width="15.1333333333333" style="1" customWidth="1"/>
    <col min="56" max="56" width="20.1333333333333" style="1" customWidth="1"/>
    <col min="57" max="57" width="8" style="1" customWidth="1"/>
    <col min="58" max="59" width="23.7037037037037" style="1" customWidth="1"/>
    <col min="60" max="60" width="16.2888888888889" style="1" customWidth="1"/>
    <col min="61" max="63" width="10.7037037037037" style="1"/>
    <col min="64" max="64" width="12.8592592592593" style="1" customWidth="1"/>
    <col min="65" max="65" width="12.4222222222222" style="1" customWidth="1"/>
    <col min="66" max="66" width="15.7037037037037" style="1" customWidth="1"/>
    <col min="67" max="67" width="16" style="1" customWidth="1"/>
    <col min="68" max="68" width="12.2888888888889" style="1" customWidth="1"/>
    <col min="69" max="69" width="12.7037037037037" style="1" customWidth="1"/>
    <col min="70" max="72" width="15.1333333333333" style="1" customWidth="1"/>
    <col min="73" max="73" width="20.1333333333333" style="1" customWidth="1"/>
    <col min="74" max="85" width="8" style="1"/>
  </cols>
  <sheetData>
    <row r="1" ht="46" customHeight="1" spans="1:56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 t="s">
        <v>1</v>
      </c>
      <c r="M1" s="5"/>
      <c r="N1" s="5"/>
      <c r="O1" s="5"/>
      <c r="P1" s="5"/>
      <c r="Q1" s="6"/>
      <c r="R1" s="7" t="s">
        <v>2</v>
      </c>
      <c r="S1" s="7"/>
      <c r="T1" s="4" t="s">
        <v>3</v>
      </c>
      <c r="U1" s="5"/>
      <c r="V1" s="5"/>
      <c r="W1" s="6"/>
      <c r="X1" s="7" t="s">
        <v>4</v>
      </c>
      <c r="Y1" s="8" t="s">
        <v>5</v>
      </c>
      <c r="Z1" s="8"/>
      <c r="AA1" s="8"/>
      <c r="AB1" s="8"/>
      <c r="AC1" s="8" t="s">
        <v>6</v>
      </c>
      <c r="AD1" s="8" t="s">
        <v>7</v>
      </c>
      <c r="AE1" s="8" t="s">
        <v>8</v>
      </c>
      <c r="AF1" s="8"/>
      <c r="AG1" s="8"/>
      <c r="AH1" s="8"/>
      <c r="AI1" s="8" t="s">
        <v>9</v>
      </c>
      <c r="AJ1" s="8" t="s">
        <v>10</v>
      </c>
      <c r="AK1" s="9" t="s">
        <v>11</v>
      </c>
      <c r="AL1" s="10" t="s">
        <v>12</v>
      </c>
      <c r="AM1" s="11" t="s">
        <v>13</v>
      </c>
      <c r="AN1" s="11"/>
      <c r="AO1" s="11"/>
      <c r="AP1" s="11"/>
      <c r="AQ1" s="12" t="s">
        <v>14</v>
      </c>
      <c r="AR1" s="11" t="s">
        <v>15</v>
      </c>
      <c r="AS1" s="11"/>
      <c r="AT1" s="11"/>
      <c r="AU1" s="11"/>
      <c r="AV1" s="12" t="s">
        <v>16</v>
      </c>
      <c r="AW1" s="13" t="s">
        <v>17</v>
      </c>
      <c r="AX1" s="12" t="s">
        <v>18</v>
      </c>
      <c r="AY1" s="12" t="s">
        <v>19</v>
      </c>
      <c r="AZ1" s="12" t="s">
        <v>20</v>
      </c>
      <c r="BA1" s="12" t="s">
        <v>21</v>
      </c>
      <c r="BB1" s="14" t="s">
        <v>22</v>
      </c>
      <c r="BC1" s="14" t="s">
        <v>23</v>
      </c>
      <c r="BD1" s="13" t="s">
        <v>24</v>
      </c>
    </row>
    <row r="2" ht="52.5" spans="1:56">
      <c r="A2" s="15" t="s">
        <v>25</v>
      </c>
      <c r="B2" s="8" t="s">
        <v>26</v>
      </c>
      <c r="C2" s="8" t="s">
        <v>27</v>
      </c>
      <c r="D2" s="3" t="s">
        <v>28</v>
      </c>
      <c r="E2" s="3" t="s">
        <v>29</v>
      </c>
      <c r="F2" s="8" t="s">
        <v>30</v>
      </c>
      <c r="G2" s="8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9" t="s">
        <v>36</v>
      </c>
      <c r="M2" s="9" t="s">
        <v>37</v>
      </c>
      <c r="N2" s="9" t="s">
        <v>38</v>
      </c>
      <c r="O2" s="9" t="s">
        <v>39</v>
      </c>
      <c r="P2" s="16" t="s">
        <v>40</v>
      </c>
      <c r="Q2" s="9" t="s">
        <v>41</v>
      </c>
      <c r="R2" s="9" t="s">
        <v>42</v>
      </c>
      <c r="S2" s="9" t="s">
        <v>43</v>
      </c>
      <c r="T2" s="9" t="s">
        <v>44</v>
      </c>
      <c r="U2" s="9" t="s">
        <v>45</v>
      </c>
      <c r="V2" s="9" t="s">
        <v>46</v>
      </c>
      <c r="W2" s="9" t="s">
        <v>47</v>
      </c>
      <c r="X2" s="7"/>
      <c r="Y2" s="9" t="s">
        <v>48</v>
      </c>
      <c r="Z2" s="9" t="s">
        <v>49</v>
      </c>
      <c r="AA2" s="9" t="s">
        <v>50</v>
      </c>
      <c r="AB2" s="9" t="s">
        <v>51</v>
      </c>
      <c r="AC2" s="8"/>
      <c r="AD2" s="8"/>
      <c r="AE2" s="9" t="s">
        <v>49</v>
      </c>
      <c r="AF2" s="9" t="s">
        <v>50</v>
      </c>
      <c r="AG2" s="9" t="s">
        <v>51</v>
      </c>
      <c r="AH2" s="9" t="s">
        <v>52</v>
      </c>
      <c r="AI2" s="8"/>
      <c r="AJ2" s="8"/>
      <c r="AK2" s="9"/>
      <c r="AL2" s="10"/>
      <c r="AM2" s="12" t="s">
        <v>53</v>
      </c>
      <c r="AN2" s="12" t="s">
        <v>54</v>
      </c>
      <c r="AO2" s="13" t="s">
        <v>55</v>
      </c>
      <c r="AP2" s="13" t="s">
        <v>56</v>
      </c>
      <c r="AQ2" s="12"/>
      <c r="AR2" s="13" t="s">
        <v>57</v>
      </c>
      <c r="AS2" s="13" t="s">
        <v>58</v>
      </c>
      <c r="AT2" s="13" t="s">
        <v>59</v>
      </c>
      <c r="AU2" s="13" t="s">
        <v>60</v>
      </c>
      <c r="AV2" s="12"/>
      <c r="AW2" s="13"/>
      <c r="AX2" s="12"/>
      <c r="AY2" s="12"/>
      <c r="AZ2" s="12"/>
      <c r="BA2" s="12"/>
      <c r="BB2" s="17"/>
      <c r="BC2" s="17"/>
      <c r="BD2" s="13"/>
    </row>
    <row r="3" ht="41.65" spans="1:56">
      <c r="A3" s="18" t="s">
        <v>61</v>
      </c>
      <c r="B3" s="19" t="s">
        <v>62</v>
      </c>
      <c r="C3" s="19" t="s">
        <v>63</v>
      </c>
      <c r="D3" s="20" t="s">
        <v>64</v>
      </c>
      <c r="E3" s="21" t="s">
        <v>65</v>
      </c>
      <c r="F3" s="22" t="s">
        <v>66</v>
      </c>
      <c r="G3" s="23" t="s">
        <v>67</v>
      </c>
      <c r="H3" s="24" t="s">
        <v>68</v>
      </c>
      <c r="I3" s="24" t="s">
        <v>69</v>
      </c>
      <c r="J3" s="24" t="s">
        <v>70</v>
      </c>
      <c r="K3" s="20" t="s">
        <v>71</v>
      </c>
      <c r="L3" s="19" t="s">
        <v>72</v>
      </c>
      <c r="M3" s="19" t="s">
        <v>73</v>
      </c>
      <c r="N3" s="19" t="s">
        <v>74</v>
      </c>
      <c r="O3" s="19" t="s">
        <v>75</v>
      </c>
      <c r="P3" s="25" t="s">
        <v>76</v>
      </c>
      <c r="Q3" s="19" t="s">
        <v>77</v>
      </c>
      <c r="R3" s="19" t="s">
        <v>78</v>
      </c>
      <c r="S3" s="19" t="s">
        <v>79</v>
      </c>
      <c r="T3" s="26" t="s">
        <v>80</v>
      </c>
      <c r="U3" s="27"/>
      <c r="V3" s="27"/>
      <c r="W3" s="28"/>
      <c r="X3" s="29" t="s">
        <v>81</v>
      </c>
      <c r="Y3" s="30" t="s">
        <v>82</v>
      </c>
      <c r="Z3" s="30" t="s">
        <v>83</v>
      </c>
      <c r="AA3" s="29" t="s">
        <v>84</v>
      </c>
      <c r="AB3" s="29" t="s">
        <v>85</v>
      </c>
      <c r="AC3" s="29" t="s">
        <v>86</v>
      </c>
      <c r="AD3" s="29" t="s">
        <v>87</v>
      </c>
      <c r="AE3" s="30" t="s">
        <v>83</v>
      </c>
      <c r="AF3" s="29" t="s">
        <v>84</v>
      </c>
      <c r="AG3" s="29" t="s">
        <v>85</v>
      </c>
      <c r="AH3" s="29" t="s">
        <v>88</v>
      </c>
      <c r="AI3" s="22" t="s">
        <v>89</v>
      </c>
      <c r="AJ3" s="22" t="s">
        <v>90</v>
      </c>
      <c r="AK3" s="21" t="s">
        <v>91</v>
      </c>
      <c r="AL3" s="31"/>
      <c r="AM3" s="32" t="s">
        <v>92</v>
      </c>
      <c r="AN3" s="32" t="s">
        <v>93</v>
      </c>
      <c r="AO3" s="32" t="s">
        <v>94</v>
      </c>
      <c r="AP3" s="32" t="s">
        <v>95</v>
      </c>
      <c r="AQ3" s="33" t="s">
        <v>96</v>
      </c>
      <c r="AR3" s="32" t="s">
        <v>97</v>
      </c>
      <c r="AS3" s="32" t="s">
        <v>98</v>
      </c>
      <c r="AT3" s="32" t="s">
        <v>99</v>
      </c>
      <c r="AU3" s="32" t="s">
        <v>100</v>
      </c>
      <c r="AV3" s="33" t="s">
        <v>101</v>
      </c>
      <c r="AW3" s="33" t="s">
        <v>102</v>
      </c>
      <c r="AX3" s="33" t="s">
        <v>103</v>
      </c>
      <c r="AY3" s="33" t="s">
        <v>104</v>
      </c>
      <c r="AZ3" s="33" t="s">
        <v>105</v>
      </c>
      <c r="BA3" s="33" t="s">
        <v>106</v>
      </c>
      <c r="BB3" s="33" t="s">
        <v>107</v>
      </c>
      <c r="BC3" s="33" t="s">
        <v>108</v>
      </c>
      <c r="BD3" s="34" t="s">
        <v>109</v>
      </c>
    </row>
    <row r="4" ht="69.4" spans="1:56">
      <c r="A4" s="18" t="s">
        <v>110</v>
      </c>
      <c r="B4" s="18"/>
      <c r="C4" s="35"/>
      <c r="D4" s="22"/>
      <c r="E4" s="22"/>
      <c r="F4" s="22" t="s">
        <v>111</v>
      </c>
      <c r="G4" s="22" t="s">
        <v>112</v>
      </c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19"/>
      <c r="X4" s="19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36" t="s">
        <v>113</v>
      </c>
      <c r="AL4" s="37" t="s">
        <v>114</v>
      </c>
      <c r="AM4" s="33" t="s">
        <v>115</v>
      </c>
      <c r="AN4" s="33" t="s">
        <v>116</v>
      </c>
      <c r="AO4" s="33" t="s">
        <v>117</v>
      </c>
      <c r="AP4" s="33" t="s">
        <v>118</v>
      </c>
      <c r="AQ4" s="33"/>
      <c r="AR4" s="33"/>
      <c r="AS4" s="33"/>
      <c r="AT4" s="33"/>
      <c r="AU4" s="33" t="s">
        <v>119</v>
      </c>
      <c r="AV4" s="33"/>
      <c r="AW4" s="33" t="s">
        <v>120</v>
      </c>
      <c r="AX4" s="33"/>
      <c r="AY4" s="33"/>
      <c r="AZ4" s="33"/>
      <c r="BA4" s="33"/>
      <c r="BB4" s="33" t="s">
        <v>121</v>
      </c>
      <c r="BC4" s="33"/>
      <c r="BD4" s="33" t="s">
        <v>122</v>
      </c>
    </row>
    <row r="5" ht="26.65" spans="1:56">
      <c r="A5" s="18" t="s">
        <v>123</v>
      </c>
      <c r="B5" s="21" t="s">
        <v>124</v>
      </c>
      <c r="C5" s="21" t="s">
        <v>125</v>
      </c>
      <c r="D5" s="21" t="s">
        <v>126</v>
      </c>
      <c r="E5" s="21" t="s">
        <v>127</v>
      </c>
      <c r="F5" s="21" t="s">
        <v>128</v>
      </c>
      <c r="G5" s="21" t="s">
        <v>129</v>
      </c>
      <c r="H5" s="21" t="s">
        <v>130</v>
      </c>
      <c r="I5" s="21" t="s">
        <v>131</v>
      </c>
      <c r="J5" s="21" t="s">
        <v>132</v>
      </c>
      <c r="K5" s="21" t="s">
        <v>133</v>
      </c>
      <c r="L5" s="22">
        <v>1</v>
      </c>
      <c r="M5" s="22">
        <v>2</v>
      </c>
      <c r="N5" s="22">
        <v>3</v>
      </c>
      <c r="O5" s="22">
        <v>4</v>
      </c>
      <c r="P5" s="22">
        <v>11</v>
      </c>
      <c r="Q5" s="22" t="s">
        <v>134</v>
      </c>
      <c r="R5" s="22">
        <v>5</v>
      </c>
      <c r="S5" s="22">
        <v>6</v>
      </c>
      <c r="T5" s="22">
        <v>7</v>
      </c>
      <c r="U5" s="22">
        <v>8</v>
      </c>
      <c r="V5" s="22">
        <v>9</v>
      </c>
      <c r="W5" s="22">
        <v>10</v>
      </c>
      <c r="X5" s="22" t="s">
        <v>135</v>
      </c>
      <c r="Y5" s="22">
        <v>21</v>
      </c>
      <c r="Z5" s="22">
        <v>22</v>
      </c>
      <c r="AA5" s="22">
        <v>23</v>
      </c>
      <c r="AB5" s="22">
        <v>24</v>
      </c>
      <c r="AC5" s="22" t="s">
        <v>136</v>
      </c>
      <c r="AD5" s="22" t="s">
        <v>137</v>
      </c>
      <c r="AE5" s="22">
        <v>41</v>
      </c>
      <c r="AF5" s="22">
        <v>42</v>
      </c>
      <c r="AG5" s="22">
        <v>43</v>
      </c>
      <c r="AH5" s="22">
        <v>44</v>
      </c>
      <c r="AI5" s="22" t="s">
        <v>138</v>
      </c>
      <c r="AJ5" s="22" t="s">
        <v>139</v>
      </c>
      <c r="AK5" s="22" t="s">
        <v>140</v>
      </c>
      <c r="AL5" s="37" t="s">
        <v>141</v>
      </c>
      <c r="AM5" s="33" t="s">
        <v>142</v>
      </c>
      <c r="AN5" s="33" t="s">
        <v>143</v>
      </c>
      <c r="AO5" s="33" t="s">
        <v>144</v>
      </c>
      <c r="AP5" s="33" t="s">
        <v>145</v>
      </c>
      <c r="AQ5" s="33" t="s">
        <v>146</v>
      </c>
      <c r="AR5" s="33">
        <v>81</v>
      </c>
      <c r="AS5" s="33">
        <v>82</v>
      </c>
      <c r="AT5" s="33">
        <v>83</v>
      </c>
      <c r="AU5" s="33">
        <v>84</v>
      </c>
      <c r="AV5" s="33" t="s">
        <v>147</v>
      </c>
      <c r="AW5" s="33" t="s">
        <v>148</v>
      </c>
      <c r="AX5" s="33" t="s">
        <v>149</v>
      </c>
      <c r="AY5" s="33" t="s">
        <v>150</v>
      </c>
      <c r="AZ5" s="33" t="s">
        <v>151</v>
      </c>
      <c r="BA5" s="33" t="s">
        <v>152</v>
      </c>
      <c r="BB5" s="33" t="s">
        <v>153</v>
      </c>
      <c r="BC5" s="33" t="s">
        <v>154</v>
      </c>
      <c r="BD5" s="33" t="s">
        <v>155</v>
      </c>
    </row>
    <row r="6" ht="191.25" spans="1:56">
      <c r="A6" s="18" t="s">
        <v>156</v>
      </c>
      <c r="B6" s="18"/>
      <c r="C6" s="18"/>
      <c r="D6" s="21"/>
      <c r="E6" s="21"/>
      <c r="F6" s="21"/>
      <c r="G6" s="21"/>
      <c r="H6" s="21"/>
      <c r="I6" s="21"/>
      <c r="J6" s="21"/>
      <c r="K6" s="21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 t="s">
        <v>157</v>
      </c>
      <c r="Y6" s="22"/>
      <c r="Z6" s="22" t="s">
        <v>158</v>
      </c>
      <c r="AA6" s="22" t="s">
        <v>159</v>
      </c>
      <c r="AB6" s="22" t="s">
        <v>160</v>
      </c>
      <c r="AC6" s="22" t="s">
        <v>161</v>
      </c>
      <c r="AD6" s="22" t="s">
        <v>162</v>
      </c>
      <c r="AE6" s="18" t="s">
        <v>163</v>
      </c>
      <c r="AF6" s="18" t="s">
        <v>164</v>
      </c>
      <c r="AG6" s="18" t="s">
        <v>165</v>
      </c>
      <c r="AH6" s="18" t="s">
        <v>166</v>
      </c>
      <c r="AI6" s="22" t="s">
        <v>167</v>
      </c>
      <c r="AJ6" s="22" t="s">
        <v>168</v>
      </c>
      <c r="AK6" s="22"/>
      <c r="AL6" s="37" t="s">
        <v>169</v>
      </c>
      <c r="AM6" s="33"/>
      <c r="AN6" s="33"/>
      <c r="AO6" s="38"/>
      <c r="AP6" s="33"/>
      <c r="AQ6" s="33" t="s">
        <v>170</v>
      </c>
      <c r="AR6" s="33"/>
      <c r="AS6" s="33"/>
      <c r="AT6" s="33"/>
      <c r="AU6" s="33"/>
      <c r="AV6" s="33" t="s">
        <v>171</v>
      </c>
      <c r="AW6" s="33" t="s">
        <v>172</v>
      </c>
      <c r="AX6" s="33" t="s">
        <v>173</v>
      </c>
      <c r="AY6" s="33" t="s">
        <v>174</v>
      </c>
      <c r="AZ6" s="33" t="s">
        <v>175</v>
      </c>
      <c r="BA6" s="33" t="s">
        <v>176</v>
      </c>
      <c r="BB6" s="33" t="s">
        <v>177</v>
      </c>
      <c r="BC6" s="33" t="s">
        <v>178</v>
      </c>
      <c r="BD6" s="33" t="s">
        <v>169</v>
      </c>
    </row>
    <row r="7" spans="1:56">
      <c r="A7" s="18" t="s">
        <v>179</v>
      </c>
      <c r="B7" s="18"/>
      <c r="C7" s="18"/>
      <c r="D7" s="22"/>
      <c r="E7" s="22"/>
      <c r="F7" s="22"/>
      <c r="G7" s="22"/>
      <c r="H7" s="22"/>
      <c r="I7" s="22"/>
      <c r="J7" s="22"/>
      <c r="K7" s="39" t="s">
        <v>180</v>
      </c>
      <c r="L7" s="22" t="str">
        <f>K7</f>
        <v>AUD</v>
      </c>
      <c r="M7" s="22" t="str">
        <f>K7</f>
        <v>AUD</v>
      </c>
      <c r="N7" s="22" t="str">
        <f>K7</f>
        <v>AUD</v>
      </c>
      <c r="O7" s="22" t="str">
        <f>K7</f>
        <v>AUD</v>
      </c>
      <c r="P7" s="22" t="str">
        <f>K7</f>
        <v>AUD</v>
      </c>
      <c r="Q7" s="22" t="str">
        <f>K7</f>
        <v>AUD</v>
      </c>
      <c r="R7" s="22" t="str">
        <f>K7</f>
        <v>AUD</v>
      </c>
      <c r="S7" s="22" t="str">
        <f>K7</f>
        <v>AUD</v>
      </c>
      <c r="T7" s="22" t="str">
        <f>K7</f>
        <v>AUD</v>
      </c>
      <c r="U7" s="22" t="str">
        <f>K7</f>
        <v>AUD</v>
      </c>
      <c r="V7" s="22" t="str">
        <f>K7</f>
        <v>AUD</v>
      </c>
      <c r="W7" s="22" t="str">
        <f>K7</f>
        <v>AUD</v>
      </c>
      <c r="X7" s="22" t="str">
        <f>K7</f>
        <v>AUD</v>
      </c>
      <c r="Y7" s="22" t="str">
        <f>K7</f>
        <v>AUD</v>
      </c>
      <c r="Z7" s="22" t="str">
        <f>K7</f>
        <v>AUD</v>
      </c>
      <c r="AA7" s="22" t="str">
        <f>K7</f>
        <v>AUD</v>
      </c>
      <c r="AB7" s="22" t="str">
        <f>K7</f>
        <v>AUD</v>
      </c>
      <c r="AC7" s="22" t="str">
        <f>K7</f>
        <v>AUD</v>
      </c>
      <c r="AD7" s="22" t="str">
        <f>K7</f>
        <v>AUD</v>
      </c>
      <c r="AE7" s="22" t="str">
        <f>K7</f>
        <v>AUD</v>
      </c>
      <c r="AF7" s="22" t="str">
        <f>K7</f>
        <v>AUD</v>
      </c>
      <c r="AG7" s="22" t="str">
        <f>K7</f>
        <v>AUD</v>
      </c>
      <c r="AH7" s="22" t="str">
        <f>K7</f>
        <v>AUD</v>
      </c>
      <c r="AI7" s="22" t="str">
        <f>K7</f>
        <v>AUD</v>
      </c>
      <c r="AJ7" s="22" t="str">
        <f>K7</f>
        <v>AUD</v>
      </c>
      <c r="AK7" s="22"/>
      <c r="AL7" s="22"/>
      <c r="AM7" s="39" t="s">
        <v>181</v>
      </c>
      <c r="AN7" s="39" t="s">
        <v>180</v>
      </c>
      <c r="AO7" s="22"/>
      <c r="AP7" s="22"/>
      <c r="AQ7" s="22" t="str">
        <f>AM7</f>
        <v>EGP</v>
      </c>
      <c r="AR7" s="22" t="str">
        <f>AM7</f>
        <v>EGP</v>
      </c>
      <c r="AS7" s="22" t="str">
        <f>AM7</f>
        <v>EGP</v>
      </c>
      <c r="AT7" s="22" t="str">
        <f>AM7</f>
        <v>EGP</v>
      </c>
      <c r="AU7" s="22" t="str">
        <f>AM7</f>
        <v>EGP</v>
      </c>
      <c r="AV7" s="22" t="str">
        <f>AM7</f>
        <v>EGP</v>
      </c>
      <c r="AW7" s="22" t="str">
        <f>AM7</f>
        <v>EGP</v>
      </c>
      <c r="AX7" s="22" t="str">
        <f>AN7</f>
        <v>AUD</v>
      </c>
      <c r="AY7" s="22" t="str">
        <f>AN7</f>
        <v>AUD</v>
      </c>
      <c r="AZ7" s="22" t="str">
        <f>AN7</f>
        <v>AUD</v>
      </c>
      <c r="BA7" s="22" t="str">
        <f>AN7</f>
        <v>AUD</v>
      </c>
      <c r="BB7" s="22" t="str">
        <f>AN7</f>
        <v>AUD</v>
      </c>
      <c r="BC7" s="22" t="str">
        <f>AN7</f>
        <v>AUD</v>
      </c>
      <c r="BD7" s="22"/>
    </row>
    <row r="8" spans="1:56">
      <c r="A8" s="40" t="s">
        <v>182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>
        <f t="shared" ref="L8:AJ8" si="0">SUM(L9:L10)</f>
        <v>33</v>
      </c>
      <c r="M8" s="40">
        <f t="shared" si="0"/>
        <v>33</v>
      </c>
      <c r="N8" s="40">
        <f t="shared" si="0"/>
        <v>33</v>
      </c>
      <c r="O8" s="40">
        <f t="shared" si="0"/>
        <v>33</v>
      </c>
      <c r="P8" s="40">
        <f t="shared" si="0"/>
        <v>33</v>
      </c>
      <c r="Q8" s="40">
        <f t="shared" si="0"/>
        <v>33</v>
      </c>
      <c r="R8" s="40">
        <f t="shared" si="0"/>
        <v>33</v>
      </c>
      <c r="S8" s="40">
        <f t="shared" si="0"/>
        <v>33</v>
      </c>
      <c r="T8" s="40">
        <f t="shared" si="0"/>
        <v>0</v>
      </c>
      <c r="U8" s="40">
        <f t="shared" si="0"/>
        <v>0</v>
      </c>
      <c r="V8" s="40">
        <f t="shared" si="0"/>
        <v>0</v>
      </c>
      <c r="W8" s="40">
        <f t="shared" si="0"/>
        <v>0</v>
      </c>
      <c r="X8" s="40">
        <f t="shared" si="0"/>
        <v>264</v>
      </c>
      <c r="Y8" s="40">
        <f t="shared" si="0"/>
        <v>0</v>
      </c>
      <c r="Z8" s="40">
        <f t="shared" si="0"/>
        <v>0</v>
      </c>
      <c r="AA8" s="40">
        <f t="shared" si="0"/>
        <v>0</v>
      </c>
      <c r="AB8" s="40">
        <f t="shared" si="0"/>
        <v>0</v>
      </c>
      <c r="AC8" s="40">
        <f t="shared" si="0"/>
        <v>0</v>
      </c>
      <c r="AD8" s="40">
        <f t="shared" si="0"/>
        <v>264</v>
      </c>
      <c r="AE8" s="40">
        <f t="shared" si="0"/>
        <v>0</v>
      </c>
      <c r="AF8" s="40">
        <f t="shared" si="0"/>
        <v>0</v>
      </c>
      <c r="AG8" s="40">
        <f t="shared" si="0"/>
        <v>0</v>
      </c>
      <c r="AH8" s="40">
        <f t="shared" si="0"/>
        <v>0</v>
      </c>
      <c r="AI8" s="40">
        <f t="shared" si="0"/>
        <v>0</v>
      </c>
      <c r="AJ8" s="40">
        <f t="shared" si="0"/>
        <v>264</v>
      </c>
      <c r="AK8" s="40"/>
      <c r="AL8" s="40"/>
      <c r="AM8" s="40"/>
      <c r="AN8" s="40"/>
      <c r="AO8" s="40"/>
      <c r="AP8" s="40"/>
      <c r="AQ8" s="40">
        <f t="shared" ref="AQ8:BC8" si="1">SUM(AQ9:AQ10)</f>
        <v>231</v>
      </c>
      <c r="AR8" s="40">
        <f t="shared" si="1"/>
        <v>0</v>
      </c>
      <c r="AS8" s="40">
        <f t="shared" si="1"/>
        <v>0</v>
      </c>
      <c r="AT8" s="40">
        <f t="shared" si="1"/>
        <v>0</v>
      </c>
      <c r="AU8" s="40">
        <f t="shared" si="1"/>
        <v>0</v>
      </c>
      <c r="AV8" s="40">
        <f t="shared" si="1"/>
        <v>0</v>
      </c>
      <c r="AW8" s="40">
        <f t="shared" si="1"/>
        <v>0</v>
      </c>
      <c r="AX8" s="40">
        <f t="shared" si="1"/>
        <v>231</v>
      </c>
      <c r="AY8" s="40">
        <f t="shared" si="1"/>
        <v>0</v>
      </c>
      <c r="AZ8" s="40">
        <f t="shared" si="1"/>
        <v>0</v>
      </c>
      <c r="BA8" s="40">
        <f t="shared" si="1"/>
        <v>231</v>
      </c>
      <c r="BB8" s="40">
        <f t="shared" si="1"/>
        <v>0</v>
      </c>
      <c r="BC8" s="40">
        <f t="shared" si="1"/>
        <v>231</v>
      </c>
      <c r="BD8" s="40"/>
    </row>
    <row r="9" spans="1:56">
      <c r="A9" s="41" t="s">
        <v>183</v>
      </c>
      <c r="B9" s="41" t="s">
        <v>184</v>
      </c>
      <c r="C9" s="41" t="s">
        <v>185</v>
      </c>
      <c r="D9" s="41" t="s">
        <v>186</v>
      </c>
      <c r="E9" s="42" t="s">
        <v>187</v>
      </c>
      <c r="F9" s="41" t="s">
        <v>188</v>
      </c>
      <c r="G9" s="41" t="s">
        <v>189</v>
      </c>
      <c r="H9" s="41" t="s">
        <v>190</v>
      </c>
      <c r="I9" s="41" t="s">
        <v>191</v>
      </c>
      <c r="J9" s="41" t="s">
        <v>192</v>
      </c>
      <c r="K9" s="41" t="s">
        <v>180</v>
      </c>
      <c r="L9" s="42">
        <v>11</v>
      </c>
      <c r="M9" s="42">
        <v>11</v>
      </c>
      <c r="N9" s="42">
        <v>11</v>
      </c>
      <c r="O9" s="42">
        <v>11</v>
      </c>
      <c r="P9" s="42">
        <v>11</v>
      </c>
      <c r="Q9" s="42">
        <v>11</v>
      </c>
      <c r="R9" s="42">
        <v>11</v>
      </c>
      <c r="S9" s="42">
        <v>11</v>
      </c>
      <c r="T9" s="42">
        <v>0</v>
      </c>
      <c r="U9" s="42">
        <v>0</v>
      </c>
      <c r="V9" s="42">
        <v>0</v>
      </c>
      <c r="W9" s="42">
        <v>0</v>
      </c>
      <c r="X9" s="41">
        <f>L9+M9+N9+O9+P9+Q9+R9+S9-T9-U9-V9-W9</f>
        <v>88</v>
      </c>
      <c r="Y9" s="42">
        <v>0</v>
      </c>
      <c r="Z9" s="42">
        <v>0</v>
      </c>
      <c r="AA9" s="42">
        <v>0</v>
      </c>
      <c r="AB9" s="42">
        <v>0</v>
      </c>
      <c r="AC9" s="41">
        <f>SUM(Y9:AB9)</f>
        <v>0</v>
      </c>
      <c r="AD9" s="41">
        <f>X9-AC9</f>
        <v>88</v>
      </c>
      <c r="AE9" s="42">
        <v>0</v>
      </c>
      <c r="AF9" s="42">
        <v>0</v>
      </c>
      <c r="AG9" s="42">
        <v>0</v>
      </c>
      <c r="AH9" s="42">
        <v>0</v>
      </c>
      <c r="AI9" s="41">
        <f>SUM(AE9:AH9)</f>
        <v>0</v>
      </c>
      <c r="AJ9" s="41">
        <f>X9+AI9</f>
        <v>88</v>
      </c>
      <c r="AK9" s="42"/>
      <c r="AL9" s="42"/>
      <c r="AM9" s="42" t="s">
        <v>181</v>
      </c>
      <c r="AN9" s="42" t="s">
        <v>180</v>
      </c>
      <c r="AO9" s="42">
        <v>1</v>
      </c>
      <c r="AP9" s="42">
        <v>1</v>
      </c>
      <c r="AQ9" s="41">
        <f>ROUND((AJ9-Q9)/AO9,2)</f>
        <v>77</v>
      </c>
      <c r="AR9" s="42">
        <v>0</v>
      </c>
      <c r="AS9" s="42">
        <v>0</v>
      </c>
      <c r="AT9" s="42">
        <v>0</v>
      </c>
      <c r="AU9" s="42">
        <v>0</v>
      </c>
      <c r="AV9" s="41">
        <f>SUM(AR9:AU9)</f>
        <v>0</v>
      </c>
      <c r="AW9" s="42">
        <v>0</v>
      </c>
      <c r="AX9" s="41">
        <f>ROUND(AQ9/AP9,2)</f>
        <v>77</v>
      </c>
      <c r="AY9" s="41">
        <f>ROUND(AV9/AP9,2)</f>
        <v>0</v>
      </c>
      <c r="AZ9" s="41">
        <f>ROUND(AW9/AP9,2)</f>
        <v>0</v>
      </c>
      <c r="BA9" s="41">
        <f>ROUND(AX9+AY9+AZ9,2)</f>
        <v>77</v>
      </c>
      <c r="BB9" s="42">
        <f>BA9*0</f>
        <v>0</v>
      </c>
      <c r="BC9" s="42">
        <f>ROUND(BA9+BB9,2)</f>
        <v>77</v>
      </c>
      <c r="BD9" s="42"/>
    </row>
    <row r="10" spans="1:56">
      <c r="A10" s="41" t="s">
        <v>183</v>
      </c>
      <c r="B10" s="41" t="s">
        <v>193</v>
      </c>
      <c r="C10" s="41" t="s">
        <v>185</v>
      </c>
      <c r="D10" s="41" t="s">
        <v>186</v>
      </c>
      <c r="E10" s="42" t="s">
        <v>194</v>
      </c>
      <c r="F10" s="41" t="s">
        <v>195</v>
      </c>
      <c r="G10" s="41" t="s">
        <v>189</v>
      </c>
      <c r="H10" s="41" t="s">
        <v>190</v>
      </c>
      <c r="I10" s="41" t="s">
        <v>191</v>
      </c>
      <c r="J10" s="41" t="s">
        <v>192</v>
      </c>
      <c r="K10" s="41" t="s">
        <v>180</v>
      </c>
      <c r="L10" s="42">
        <v>22</v>
      </c>
      <c r="M10" s="42">
        <v>22</v>
      </c>
      <c r="N10" s="42">
        <v>22</v>
      </c>
      <c r="O10" s="42">
        <v>22</v>
      </c>
      <c r="P10" s="42">
        <v>22</v>
      </c>
      <c r="Q10" s="42">
        <v>22</v>
      </c>
      <c r="R10" s="42">
        <v>22</v>
      </c>
      <c r="S10" s="42">
        <v>22</v>
      </c>
      <c r="T10" s="42">
        <v>0</v>
      </c>
      <c r="U10" s="42">
        <v>0</v>
      </c>
      <c r="V10" s="42">
        <v>0</v>
      </c>
      <c r="W10" s="42">
        <v>0</v>
      </c>
      <c r="X10" s="41">
        <f>L10+M10+N10+O10+P10+Q10+R10+S10-T10-U10-V10-W10</f>
        <v>176</v>
      </c>
      <c r="Y10" s="42">
        <v>0</v>
      </c>
      <c r="Z10" s="42">
        <v>0</v>
      </c>
      <c r="AA10" s="42">
        <v>0</v>
      </c>
      <c r="AB10" s="42">
        <v>0</v>
      </c>
      <c r="AC10" s="41">
        <f>SUM(Y10:AB10)</f>
        <v>0</v>
      </c>
      <c r="AD10" s="41">
        <f>X10-AC10</f>
        <v>176</v>
      </c>
      <c r="AE10" s="42">
        <v>0</v>
      </c>
      <c r="AF10" s="42">
        <v>0</v>
      </c>
      <c r="AG10" s="42">
        <v>0</v>
      </c>
      <c r="AH10" s="42">
        <v>0</v>
      </c>
      <c r="AI10" s="41">
        <f>SUM(AE10:AH10)</f>
        <v>0</v>
      </c>
      <c r="AJ10" s="41">
        <f>X10+AI10</f>
        <v>176</v>
      </c>
      <c r="AK10" s="42"/>
      <c r="AL10" s="42"/>
      <c r="AM10" s="42" t="s">
        <v>181</v>
      </c>
      <c r="AN10" s="42" t="s">
        <v>180</v>
      </c>
      <c r="AO10" s="42">
        <v>1</v>
      </c>
      <c r="AP10" s="42">
        <v>1</v>
      </c>
      <c r="AQ10" s="41">
        <f>ROUND((AJ10-Q10)/AO10,2)</f>
        <v>154</v>
      </c>
      <c r="AR10" s="42">
        <v>0</v>
      </c>
      <c r="AS10" s="42">
        <v>0</v>
      </c>
      <c r="AT10" s="42">
        <v>0</v>
      </c>
      <c r="AU10" s="42">
        <v>0</v>
      </c>
      <c r="AV10" s="41">
        <f>SUM(AR10:AU10)</f>
        <v>0</v>
      </c>
      <c r="AW10" s="42">
        <v>0</v>
      </c>
      <c r="AX10" s="41">
        <f>ROUND(AQ10/AP10,2)</f>
        <v>154</v>
      </c>
      <c r="AY10" s="41">
        <f>ROUND(AV10/AP10,2)</f>
        <v>0</v>
      </c>
      <c r="AZ10" s="41">
        <f>ROUND(AW10/AP10,2)</f>
        <v>0</v>
      </c>
      <c r="BA10" s="41">
        <f>ROUND(AX10+AY10+AZ10,2)</f>
        <v>154</v>
      </c>
      <c r="BB10" s="42">
        <f>BA10*0</f>
        <v>0</v>
      </c>
      <c r="BC10" s="42">
        <f>ROUND(BA10+BB10,2)</f>
        <v>154</v>
      </c>
      <c r="BD10" s="42"/>
    </row>
  </sheetData>
  <sheetProtection password="978E" sheet="1" formatCells="0" formatColumns="0" formatRows="0" objects="1" scenarios="1"/>
  <mergeCells count="26">
    <mergeCell ref="B1:K1"/>
    <mergeCell ref="L1:Q1"/>
    <mergeCell ref="R1:S1"/>
    <mergeCell ref="T1:W1"/>
    <mergeCell ref="Y1:AB1"/>
    <mergeCell ref="AE1:AH1"/>
    <mergeCell ref="AM1:AP1"/>
    <mergeCell ref="AR1:AU1"/>
    <mergeCell ref="T3:W3"/>
    <mergeCell ref="X1:X2"/>
    <mergeCell ref="AC1:AC2"/>
    <mergeCell ref="AD1:AD2"/>
    <mergeCell ref="AI1:AI2"/>
    <mergeCell ref="AJ1:AJ2"/>
    <mergeCell ref="AK1:AK2"/>
    <mergeCell ref="AL1:AL2"/>
    <mergeCell ref="AQ1:AQ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陆曦</dc:creator>
  <cp:lastModifiedBy>卢某人</cp:lastModifiedBy>
  <dcterms:created xsi:type="dcterms:W3CDTF">2024-09-11T03:52:00Z</dcterms:created>
  <dcterms:modified xsi:type="dcterms:W3CDTF">2026-09-11T07:32:38Z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C1F3AC8BDD2045679A705A918205A14D_12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